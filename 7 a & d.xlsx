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elissa Silva\Desktop\FEUP\2ano\Primeiro semestre\MNUM\TP6\"/>
    </mc:Choice>
  </mc:AlternateContent>
  <xr:revisionPtr revIDLastSave="0" documentId="13_ncr:1_{558D0B99-7E3E-4758-A310-8C94E04CDB5D}" xr6:coauthVersionLast="45" xr6:coauthVersionMax="45" xr10:uidLastSave="{00000000-0000-0000-0000-000000000000}"/>
  <bookViews>
    <workbookView xWindow="960" yWindow="1260" windowWidth="9940" windowHeight="9280" xr2:uid="{4D253D13-BFC2-43FC-8951-BEC4F8493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G21" i="1"/>
  <c r="G20" i="1"/>
  <c r="C22" i="1"/>
  <c r="C20" i="1"/>
  <c r="C21" i="1"/>
  <c r="D3" i="1" l="1"/>
  <c r="J2" i="1"/>
  <c r="C3" i="1"/>
  <c r="C2" i="1"/>
  <c r="C9" i="1"/>
  <c r="J1" i="1"/>
  <c r="I1" i="1"/>
  <c r="H7" i="1"/>
  <c r="C8" i="1" l="1"/>
  <c r="H8" i="1" s="1"/>
  <c r="E12" i="1" s="1"/>
  <c r="D12" i="1"/>
  <c r="D9" i="1"/>
  <c r="H9" i="1" l="1"/>
  <c r="E13" i="1" s="1"/>
  <c r="H13" i="1" s="1"/>
  <c r="H12" i="1" l="1"/>
  <c r="H11" i="1" s="1"/>
</calcChain>
</file>

<file path=xl/sharedStrings.xml><?xml version="1.0" encoding="utf-8"?>
<sst xmlns="http://schemas.openxmlformats.org/spreadsheetml/2006/main" count="17" uniqueCount="14">
  <si>
    <t>L=</t>
  </si>
  <si>
    <t>U=</t>
  </si>
  <si>
    <t>Y1</t>
  </si>
  <si>
    <t>Y2</t>
  </si>
  <si>
    <t>Y3</t>
  </si>
  <si>
    <t>x</t>
  </si>
  <si>
    <t>y</t>
  </si>
  <si>
    <t>z</t>
  </si>
  <si>
    <t>Erro relativo</t>
  </si>
  <si>
    <t>b</t>
  </si>
  <si>
    <t>Er(x)=</t>
  </si>
  <si>
    <t>Er(y)=</t>
  </si>
  <si>
    <t>Er(z)=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</si>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</sst>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2409-6715-4C3E-8421-51BD8417C3A9}">
  <dimension ref="A1:J22"/>
  <sheetViews>
    <sheetView tabSelected="1" workbookViewId="0">
      <selection activeCell="D21" sqref="D21"/>
    </sheetView>
  </sheetViews>
  <sheetFormatPr defaultRowHeight="14.5" x14ac:dyDescent="0.35"/>
  <sheetData>
    <row r="1" spans="1:10" x14ac:dyDescent="0.35">
      <c r="B1">
        <v>4</v>
      </c>
      <c r="C1">
        <v>0</v>
      </c>
      <c r="D1">
        <v>0</v>
      </c>
      <c r="H1">
        <v>1</v>
      </c>
      <c r="I1">
        <f>-1/4</f>
        <v>-0.25</v>
      </c>
      <c r="J1">
        <f>2/4</f>
        <v>0.5</v>
      </c>
    </row>
    <row r="2" spans="1:10" x14ac:dyDescent="0.35">
      <c r="A2" t="s">
        <v>0</v>
      </c>
      <c r="B2">
        <v>1</v>
      </c>
      <c r="C2">
        <f>8-B2*I1</f>
        <v>8.25</v>
      </c>
      <c r="D2">
        <v>0</v>
      </c>
      <c r="G2" t="s">
        <v>1</v>
      </c>
      <c r="H2">
        <v>0</v>
      </c>
      <c r="I2">
        <v>1</v>
      </c>
      <c r="J2">
        <f>1/(C2)*(2-B2*J1)</f>
        <v>0.18181818181818182</v>
      </c>
    </row>
    <row r="3" spans="1:10" x14ac:dyDescent="0.35">
      <c r="B3">
        <v>3</v>
      </c>
      <c r="C3">
        <f>-1-B3*I1</f>
        <v>-0.25</v>
      </c>
      <c r="D3">
        <f>5-(B3*J1+C3*J2)</f>
        <v>3.5454545454545454</v>
      </c>
      <c r="H3">
        <v>0</v>
      </c>
      <c r="I3">
        <v>0</v>
      </c>
      <c r="J3">
        <v>1</v>
      </c>
    </row>
    <row r="7" spans="1:10" x14ac:dyDescent="0.35">
      <c r="B7">
        <v>4</v>
      </c>
      <c r="C7">
        <v>0</v>
      </c>
      <c r="D7">
        <v>0</v>
      </c>
      <c r="E7" s="1">
        <v>20</v>
      </c>
      <c r="G7" t="s">
        <v>2</v>
      </c>
      <c r="H7">
        <f>E7/B7</f>
        <v>5</v>
      </c>
    </row>
    <row r="8" spans="1:10" x14ac:dyDescent="0.35">
      <c r="B8">
        <v>1</v>
      </c>
      <c r="C8">
        <f>C2</f>
        <v>8.25</v>
      </c>
      <c r="D8">
        <v>0</v>
      </c>
      <c r="E8" s="1">
        <v>25</v>
      </c>
      <c r="G8" t="s">
        <v>3</v>
      </c>
      <c r="H8">
        <f>(E8-H7)/C8</f>
        <v>2.4242424242424243</v>
      </c>
    </row>
    <row r="9" spans="1:10" x14ac:dyDescent="0.35">
      <c r="B9">
        <v>3</v>
      </c>
      <c r="C9">
        <f>C3</f>
        <v>-0.25</v>
      </c>
      <c r="D9">
        <f>D3</f>
        <v>3.5454545454545454</v>
      </c>
      <c r="E9" s="1">
        <v>-10</v>
      </c>
      <c r="G9" t="s">
        <v>4</v>
      </c>
      <c r="H9">
        <f>(E9-B9*H7-C9*H8)/D9</f>
        <v>-6.8803418803418808</v>
      </c>
    </row>
    <row r="11" spans="1:10" x14ac:dyDescent="0.35">
      <c r="B11">
        <v>1</v>
      </c>
      <c r="C11">
        <v>-0.25</v>
      </c>
      <c r="D11">
        <v>0.5</v>
      </c>
      <c r="E11" s="1">
        <v>5</v>
      </c>
      <c r="G11" t="s">
        <v>5</v>
      </c>
      <c r="H11">
        <f>E11-D11*E13-C11*H12</f>
        <v>9.3589743589743595</v>
      </c>
    </row>
    <row r="12" spans="1:10" x14ac:dyDescent="0.35">
      <c r="B12">
        <v>0</v>
      </c>
      <c r="C12">
        <v>1</v>
      </c>
      <c r="D12">
        <f>J2</f>
        <v>0.18181818181818182</v>
      </c>
      <c r="E12">
        <f>H8</f>
        <v>2.4242424242424243</v>
      </c>
      <c r="G12" t="s">
        <v>6</v>
      </c>
      <c r="H12">
        <f>E12-D12*E13</f>
        <v>3.6752136752136755</v>
      </c>
    </row>
    <row r="13" spans="1:10" x14ac:dyDescent="0.35">
      <c r="B13">
        <v>0</v>
      </c>
      <c r="C13">
        <v>0</v>
      </c>
      <c r="D13">
        <v>1</v>
      </c>
      <c r="E13">
        <f>H9</f>
        <v>-6.8803418803418808</v>
      </c>
      <c r="G13" t="s">
        <v>7</v>
      </c>
      <c r="H13">
        <f>E13</f>
        <v>-6.8803418803418808</v>
      </c>
    </row>
    <row r="18" spans="1:7" x14ac:dyDescent="0.35">
      <c r="A18" t="s">
        <v>8</v>
      </c>
    </row>
    <row r="19" spans="1:7" x14ac:dyDescent="0.35">
      <c r="A19" t="s">
        <v>9</v>
      </c>
      <c r="E19" t="s">
        <v>13</v>
      </c>
    </row>
    <row r="20" spans="1:7" x14ac:dyDescent="0.35">
      <c r="B20" t="s">
        <v>10</v>
      </c>
      <c r="C20">
        <f>(H11-8.919)/H11</f>
        <v>4.7010958904109591E-2</v>
      </c>
      <c r="F20" t="s">
        <v>10</v>
      </c>
      <c r="G20">
        <f>(H11-9.3)/H11</f>
        <v>6.3013698630136755E-3</v>
      </c>
    </row>
    <row r="21" spans="1:7" x14ac:dyDescent="0.35">
      <c r="B21" t="s">
        <v>11</v>
      </c>
      <c r="C21">
        <f>(H12-3.575)/H12</f>
        <v>2.7267441860465137E-2</v>
      </c>
      <c r="F21" t="s">
        <v>11</v>
      </c>
      <c r="G21">
        <f>(H12-3.659)/H12</f>
        <v>4.4116279069768682E-3</v>
      </c>
    </row>
    <row r="22" spans="1:7" x14ac:dyDescent="0.35">
      <c r="B22" t="s">
        <v>12</v>
      </c>
      <c r="C22">
        <f>(H13+6.446)/H13</f>
        <v>6.3127950310559108E-2</v>
      </c>
      <c r="F22" t="s">
        <v>12</v>
      </c>
      <c r="G22">
        <f>(H13+6.848)/H13</f>
        <v>4.7006211180125037E-3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Silva</dc:creator>
  <cp:lastModifiedBy>Melissa Silva</cp:lastModifiedBy>
  <dcterms:created xsi:type="dcterms:W3CDTF">2020-11-14T18:29:10Z</dcterms:created>
  <dcterms:modified xsi:type="dcterms:W3CDTF">2020-11-14T22:58:22Z</dcterms:modified>
</cp:coreProperties>
</file>